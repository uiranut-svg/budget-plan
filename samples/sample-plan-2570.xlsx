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budget-plan\samples\"/>
    </mc:Choice>
  </mc:AlternateContent>
  <xr:revisionPtr revIDLastSave="0" documentId="8_{A97DE92E-E8CA-4C17-AA04-5CC29E3F473A}" xr6:coauthVersionLast="47" xr6:coauthVersionMax="47" xr10:uidLastSave="{00000000-0000-0000-0000-000000000000}"/>
  <bookViews>
    <workbookView xWindow="-120" yWindow="-120" windowWidth="29040" windowHeight="15720" xr2:uid="{D9D9953A-AF14-4E66-A73D-FDB8C3DC2CD3}"/>
  </bookViews>
  <sheets>
    <sheet name="แผนปฏิบัติการ 2570" sheetId="1" r:id="rId1"/>
    <sheet name="แผนจัดซื้อจัดจ้าง 2570" sheetId="2" r:id="rId2"/>
    <sheet name="ประมาณการรายรับ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3" l="1"/>
  <c r="B12" i="3"/>
  <c r="C14" i="2"/>
  <c r="H36" i="1"/>
  <c r="G36" i="1"/>
  <c r="F36" i="1"/>
  <c r="E36" i="1"/>
  <c r="H35" i="1"/>
  <c r="G35" i="1"/>
  <c r="F35" i="1"/>
  <c r="E35" i="1"/>
  <c r="H34" i="1"/>
  <c r="H33" i="1"/>
  <c r="H32" i="1"/>
  <c r="H31" i="1"/>
  <c r="H30" i="1"/>
  <c r="H29" i="1"/>
  <c r="H28" i="1"/>
  <c r="H26" i="1"/>
  <c r="G26" i="1"/>
  <c r="F26" i="1"/>
  <c r="E26" i="1"/>
  <c r="H25" i="1"/>
  <c r="H24" i="1"/>
  <c r="H23" i="1"/>
  <c r="H22" i="1"/>
  <c r="H21" i="1"/>
  <c r="H19" i="1"/>
  <c r="G19" i="1"/>
  <c r="F19" i="1"/>
  <c r="E19" i="1"/>
  <c r="H18" i="1"/>
  <c r="H17" i="1"/>
  <c r="H16" i="1"/>
  <c r="H15" i="1"/>
  <c r="H13" i="1"/>
  <c r="G13" i="1"/>
  <c r="F13" i="1"/>
  <c r="E13" i="1"/>
  <c r="H12" i="1"/>
  <c r="H11" i="1"/>
  <c r="H10" i="1"/>
  <c r="H9" i="1"/>
  <c r="H8" i="1"/>
  <c r="H7" i="1"/>
</calcChain>
</file>

<file path=xl/sharedStrings.xml><?xml version="1.0" encoding="utf-8"?>
<sst xmlns="http://schemas.openxmlformats.org/spreadsheetml/2006/main" count="277" uniqueCount="176">
  <si>
    <t>แผนปฏิบัติการประจำปีงบประมาณ พ.ศ. 2570</t>
  </si>
  <si>
    <t>วิทยาลัยตัวอย่าง (ข้อมูลสมมติสำหรับทดลองนำเข้า)</t>
  </si>
  <si>
    <t>รวมงบประมาณ (บาท)</t>
  </si>
  <si>
    <t>ผู้รับผิดชอบ</t>
  </si>
  <si>
    <t>แหล่งงบประมาณ (บาท)</t>
  </si>
  <si>
    <t>ก.ค.-ก.ย. 70</t>
  </si>
  <si>
    <t>เป้าหมาย</t>
  </si>
  <si>
    <t>ระยะเวลาดำเนินการ</t>
  </si>
  <si>
    <t>หน่วยงานที่รับผิดชอบ</t>
  </si>
  <si>
    <t>เงินรายได้สถานศึกษา</t>
  </si>
  <si>
    <t>ต.ค.-ธ.ค. 69</t>
  </si>
  <si>
    <t>เม.ย.-มิ.ย. 70</t>
  </si>
  <si>
    <t>ที่</t>
  </si>
  <si>
    <t>ม.ค.-มี.ค. 70</t>
  </si>
  <si>
    <t>วัตถุประสงค์</t>
  </si>
  <si>
    <t>เงินงบประมาณ</t>
  </si>
  <si>
    <t>โครงการ/กิจกรรม</t>
  </si>
  <si>
    <t>เงินอุดหนุน</t>
  </si>
  <si>
    <t>หมวดรายจ่าย</t>
  </si>
  <si>
    <t>ฝ่ายบริหารทรัพยากร</t>
  </si>
  <si>
    <t>โครงการพัฒนาบุคลากรด้านการใช้เทคโนโลยีดิจิทัล</t>
  </si>
  <si>
    <t>เพื่อพัฒนาครูและบุคลากรให้ใช้เทคโนโลยีดิจิทัลในการปฏิบัติงาน</t>
  </si>
  <si>
    <t>ครูและบุคลากร 85 คน</t>
  </si>
  <si>
    <t>✓</t>
  </si>
  <si>
    <t>งบดำเนินงาน › ค่าใช้สอย</t>
  </si>
  <si>
    <t>นางสาวสมใจ ใฝ่รู้</t>
  </si>
  <si>
    <t>งานบุคลากร</t>
  </si>
  <si>
    <t>โครงการปรับปรุงห้องน้ำอาคารเรียน 2</t>
  </si>
  <si>
    <t>เพื่อให้ผู้เรียนมีห้องน้ำที่สะอาดถูกสุขลักษณะ</t>
  </si>
  <si>
    <t>ห้องน้ำ 12 ห้อง</t>
  </si>
  <si>
    <t>งบลงทุน › ค่าที่ดินและสิ่งก่อสร้าง</t>
  </si>
  <si>
    <t>นายประสิทธิ์ ช่างดี</t>
  </si>
  <si>
    <t>งานอาคารสถานที่</t>
  </si>
  <si>
    <t>โครงการจ้างเหมาบริการรักษาความปลอดภัย</t>
  </si>
  <si>
    <t>เพื่อดูแลความปลอดภัยของทรัพย์สินและบุคลากร</t>
  </si>
  <si>
    <t>ตลอดปีงบประมาณ 12 เดือน</t>
  </si>
  <si>
    <t>โครงการจัดซื้อวัสดุสำนักงาน</t>
  </si>
  <si>
    <t>เพื่อให้มีวัสดุสำนักงานเพียงพอต่อการปฏิบัติงาน</t>
  </si>
  <si>
    <t>ทุกฝ่าย/งาน</t>
  </si>
  <si>
    <t>งบดำเนินงาน › ค่าวัสดุ</t>
  </si>
  <si>
    <t>นางวันดี มีทรัพย์</t>
  </si>
  <si>
    <t>งานพัสดุ</t>
  </si>
  <si>
    <t>โครงการประชาสัมพันธ์การรับสมัครนักเรียนนักศึกษา</t>
  </si>
  <si>
    <t>เพื่อประชาสัมพันธ์หลักสูตรและเพิ่มจำนวนผู้เรียน</t>
  </si>
  <si>
    <t>โรงเรียนในพื้นที่ 25 แห่ง</t>
  </si>
  <si>
    <t>นายชาญ สื่อสาร</t>
  </si>
  <si>
    <t>งานประชาสัมพันธ์</t>
  </si>
  <si>
    <t>ค่าสาธารณูปโภค (ไฟฟ้า น้ำประปา โทรศัพท์ อินเทอร์เน็ต)</t>
  </si>
  <si>
    <t>เพื่อชำระค่าสาธารณูปโภคของสถานศึกษา</t>
  </si>
  <si>
    <t>12 เดือน</t>
  </si>
  <si>
    <t>งบดำเนินงาน › ค่าสาธารณูปโภค</t>
  </si>
  <si>
    <t>งานการเงิน</t>
  </si>
  <si>
    <t>รวมฝ่ายบริหารทรัพยากร</t>
  </si>
  <si>
    <t>ฝ่ายแผนงานและความร่วมมือ</t>
  </si>
  <si>
    <t>โครงการจัดทำแผนปฏิบัติการประจำปีงบประมาณ</t>
  </si>
  <si>
    <t>เพื่อจัดทำแผนปฏิบัติการที่สอดคล้องกับนโยบาย</t>
  </si>
  <si>
    <t>แผนปฏิบัติการ 1 เล่ม</t>
  </si>
  <si>
    <t>นางสาวกมลา วางแผน</t>
  </si>
  <si>
    <t>งานวางแผนและงบประมาณ</t>
  </si>
  <si>
    <t>โครงการประกันคุณภาพการศึกษาภายใน</t>
  </si>
  <si>
    <t>เพื่อพัฒนาระบบประกันคุณภาพตามมาตรฐานการอาชีวศึกษา</t>
  </si>
  <si>
    <t>รายงาน SAR 1 เล่ม</t>
  </si>
  <si>
    <t>นายสมศักดิ์ มาตรฐาน</t>
  </si>
  <si>
    <t>งานประกันคุณภาพ</t>
  </si>
  <si>
    <t>โครงการประกวดสิ่งประดิษฐ์ของคนรุ่นใหม่</t>
  </si>
  <si>
    <t>เพื่อส่งเสริมให้ผู้เรียนสร้างนวัตกรรมและสิ่งประดิษฐ์</t>
  </si>
  <si>
    <t>ผลงาน 10 ชิ้น</t>
  </si>
  <si>
    <t>นายวิชัย คิดค้น</t>
  </si>
  <si>
    <t>งานวิจัยพัฒนานวัตกรรมและสิ่งประดิษฐ์</t>
  </si>
  <si>
    <t>โครงการพัฒนาระบบสารสนเทศเพื่อการบริหาร</t>
  </si>
  <si>
    <t>เพื่อพัฒนาฐานข้อมูลสารสนเทศของสถานศึกษา</t>
  </si>
  <si>
    <t>ระบบข้อมูล 3 ระบบ</t>
  </si>
  <si>
    <t>นายธนา ข้อมูลดี</t>
  </si>
  <si>
    <t>งานศูนย์ข้อมูลสารสนเทศ</t>
  </si>
  <si>
    <t>รวมฝ่ายแผนงานและความร่วมมือ</t>
  </si>
  <si>
    <t>ฝ่ายพัฒนากิจการนักเรียนนักศึกษา</t>
  </si>
  <si>
    <t>โครงการปฐมนิเทศนักเรียนนักศึกษาใหม่</t>
  </si>
  <si>
    <t>เพื่อให้ผู้เรียนใหม่เข้าใจระเบียบและการเรียน</t>
  </si>
  <si>
    <t>ผู้เรียนใหม่ 420 คน</t>
  </si>
  <si>
    <t>นางสาวรัตนา ใจดี</t>
  </si>
  <si>
    <t>งานกิจกรรมนักเรียนนักศึกษา</t>
  </si>
  <si>
    <t>โครงการกีฬาสีภายในต้านยาเสพติด</t>
  </si>
  <si>
    <t>เพื่อส่งเสริมสุขภาพและห่างไกลยาเสพติด</t>
  </si>
  <si>
    <t>ผู้เรียน 1,250 คน</t>
  </si>
  <si>
    <t>นายพละ แข็งแรง</t>
  </si>
  <si>
    <t>โครงการเยี่ยมบ้านนักเรียน</t>
  </si>
  <si>
    <t>เพื่อดูแลช่วยเหลือผู้เรียนอย่างใกล้ชิด</t>
  </si>
  <si>
    <t>ผู้เรียนกลุ่มเสี่ยง 150 คน</t>
  </si>
  <si>
    <t>นางสาวพร ดูแล</t>
  </si>
  <si>
    <t>งานครูที่ปรึกษา</t>
  </si>
  <si>
    <t>โครงการแนะแนวศึกษาต่อและอาชีพ</t>
  </si>
  <si>
    <t>เพื่อให้ผู้เรียนมีข้อมูลการศึกษาต่อและการมีงานทำ</t>
  </si>
  <si>
    <t>ผู้เรียนชั้นปีสุดท้าย 380 คน</t>
  </si>
  <si>
    <t>นางเพ็ญ แนะทาง</t>
  </si>
  <si>
    <t>งานแนะแนวอาชีพและการจัดหางาน</t>
  </si>
  <si>
    <t>โครงการอาชีวะบริการชุมชน (Fix it Center)</t>
  </si>
  <si>
    <t>เพื่อให้บริการซ่อมบำรุงแก่ชุมชน</t>
  </si>
  <si>
    <t>ชุมชน 4 แห่ง</t>
  </si>
  <si>
    <t>นายบุญ ช่วยชุมชน</t>
  </si>
  <si>
    <t>งานโครงการพิเศษและการบริการชุมชน</t>
  </si>
  <si>
    <t>รวมฝ่ายพัฒนากิจการนักเรียนนักศึกษา</t>
  </si>
  <si>
    <t>ฝ่ายวิชาการ</t>
  </si>
  <si>
    <t>โครงการจัดซื้อวัสดุฝึกแผนกช่างยนต์</t>
  </si>
  <si>
    <t>เพื่อจัดหาวัสดุฝึกให้เพียงพอต่อการเรียนภาคปฏิบัติ</t>
  </si>
  <si>
    <t>ผู้เรียน 360 คน</t>
  </si>
  <si>
    <t>หัวหน้าแผนกวิชาช่างยนต์</t>
  </si>
  <si>
    <t>แผนกช่างยนต์</t>
  </si>
  <si>
    <t>โครงการจัดซื้อวัสดุฝึกแผนกช่างไฟฟ้ากำลัง</t>
  </si>
  <si>
    <t>ผู้เรียน 410 คน</t>
  </si>
  <si>
    <t>หัวหน้าแผนกวิชาช่างไฟฟ้ากำลัง</t>
  </si>
  <si>
    <t>แผนกช่างไฟฟ้ากำลัง</t>
  </si>
  <si>
    <t>โครงการจัดซื้อครุภัณฑ์ชุดฝึกระบบควบคุมอัตโนมัติ (PLC)</t>
  </si>
  <si>
    <t>เพื่อพัฒนาการเรียนการสอนให้ทันเทคโนโลยี</t>
  </si>
  <si>
    <t>ชุดฝึก 5 ชุด</t>
  </si>
  <si>
    <t>งบลงทุน › ค่าครุภัณฑ์</t>
  </si>
  <si>
    <t>หัวหน้าแผนกวิชาช่างอิเล็กทรอนิกส์</t>
  </si>
  <si>
    <t>แผนกช่างอิเล็กทรอนิกส์</t>
  </si>
  <si>
    <t>โครงการพัฒนาทักษะการใช้โปรแกรมบัญชี</t>
  </si>
  <si>
    <t>เพื่อพัฒนาทักษะวิชาชีพของผู้เรียนสาขาการบัญชี</t>
  </si>
  <si>
    <t>ผู้เรียน 120 คน</t>
  </si>
  <si>
    <t>หัวหน้าแผนกวิชาการบัญชี</t>
  </si>
  <si>
    <t>แผนกการบัญชี</t>
  </si>
  <si>
    <t>โครงการทดสอบมาตรฐานวิชาชีพ</t>
  </si>
  <si>
    <t>เพื่อทดสอบสมรรถนะผู้เรียนตามมาตรฐานวิชาชีพ</t>
  </si>
  <si>
    <t>นายวัด ผลดี</t>
  </si>
  <si>
    <t>งานวัดผลและประเมินผล</t>
  </si>
  <si>
    <t>โครงการพัฒนาความร่วมมือการจัดการเรียนการสอนระบบทวิภาคี</t>
  </si>
  <si>
    <t>เพื่อขยายสถานประกอบการที่ร่วมจัดการศึกษา</t>
  </si>
  <si>
    <t>สถานประกอบการ 30 แห่ง</t>
  </si>
  <si>
    <t>นางทวี ภาคี</t>
  </si>
  <si>
    <t>งานอาชีวศึกษาระบบทวิภาคี</t>
  </si>
  <si>
    <t>โครงการจัดหาหนังสือและสื่อสิ่งพิมพ์ห้องสมุด</t>
  </si>
  <si>
    <t>เพื่อเพิ่มแหล่งเรียนรู้ให้ผู้เรียน</t>
  </si>
  <si>
    <t>หนังสือ 300 เล่ม</t>
  </si>
  <si>
    <t>นางสาวอักษร รักอ่าน</t>
  </si>
  <si>
    <t>งานวิทยบริการและห้องสมุด</t>
  </si>
  <si>
    <t>รวมฝ่ายวิชาการ</t>
  </si>
  <si>
    <t>รวมทั้งสิ้น</t>
  </si>
  <si>
    <t>แผนการจัดซื้อจัดจ้าง ประจำปีงบประมาณ พ.ศ. 2570</t>
  </si>
  <si>
    <t>รายการ/งานที่จะจัดซื้อจัดจ้าง</t>
  </si>
  <si>
    <t>วงเงินงบประมาณ (บาท)</t>
  </si>
  <si>
    <t>แหล่งเงิน</t>
  </si>
  <si>
    <t>วิธีการจัดหา</t>
  </si>
  <si>
    <t>กำหนดเวลาที่ต้องการใช้</t>
  </si>
  <si>
    <t>โครงการ</t>
  </si>
  <si>
    <t>หมายเหตุ</t>
  </si>
  <si>
    <t>จ้างเหมาบริการรักษาความปลอดภัย 12 เดือน</t>
  </si>
  <si>
    <t>วิธีเฉพาะเจาะจง</t>
  </si>
  <si>
    <t>ต.ค. 69</t>
  </si>
  <si>
    <t>วัสดุสำนักงาน ครั้งที่ 1</t>
  </si>
  <si>
    <t>พ.ย. 69</t>
  </si>
  <si>
    <t>วัสดุฝึกแผนกช่างยนต์ ภาคเรียนที่ 2/2569</t>
  </si>
  <si>
    <t>วัสดุฝึกแผนกช่างไฟฟ้ากำลัง ภาคเรียนที่ 2/2569</t>
  </si>
  <si>
    <t>จ้างปรับปรุงห้องน้ำอาคารเรียน 2</t>
  </si>
  <si>
    <t>ม.ค. 70</t>
  </si>
  <si>
    <t>ครุภัณฑ์ชุดฝึกระบบควบคุมอัตโนมัติ (PLC) 5 ชุด</t>
  </si>
  <si>
    <t>e-bidding</t>
  </si>
  <si>
    <t>ก.พ. 70</t>
  </si>
  <si>
    <t>หนังสือและสื่อสิ่งพิมพ์ห้องสมุด</t>
  </si>
  <si>
    <t>วัสดุทดสอบมาตรฐานวิชาชีพ</t>
  </si>
  <si>
    <t>เม.ย. 70</t>
  </si>
  <si>
    <t>วัสดุฝึกแผนกช่างยนต์ ภาคเรียนที่ 1/2570</t>
  </si>
  <si>
    <t>พ.ค. 70</t>
  </si>
  <si>
    <t>วัสดุฝึกแผนกช่างไฟฟ้ากำลัง ภาคเรียนที่ 1/2570</t>
  </si>
  <si>
    <t>รวม</t>
  </si>
  <si>
    <t>ประมาณการรายรับ ประจำปีงบประมาณ พ.ศ. 2570</t>
  </si>
  <si>
    <t>ประมาณการรายรับ (บาท)</t>
  </si>
  <si>
    <t>เงินคงเหลือยกมา (บาท)</t>
  </si>
  <si>
    <t>งบประมาณรายจ่ายที่ได้รับจัดสรร</t>
  </si>
  <si>
    <t>- ปวช.</t>
  </si>
  <si>
    <t>- ปวส.</t>
  </si>
  <si>
    <t>- ครุภัณฑ์</t>
  </si>
  <si>
    <t>โครงการสนับสนุนค่าใช้จ่ายในการจัดการศึกษา</t>
  </si>
  <si>
    <t>- ค่าจัดการเรียนการสอน</t>
  </si>
  <si>
    <t>- ค่ากิจกรรมพัฒนาคุณภาพผู้เรียน</t>
  </si>
  <si>
    <t>ค่าบำรุงการศึกษา ผลประโยชน์จากทรัพย์สิน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</si>
</sst>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14"/>
      <color theme="1"/>
      <name val="TH SarabunPSK"/>
      <family val="2"/>
    </font>
    <font>
      <b/>
      <sz val="14"/>
      <color theme="1"/>
      <name val="TH SarabunPSK"/>
      <family val="2"/>
    </font>
    <font>
      <b/>
      <sz val="18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rgb="FFF2E6DD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2" fillId="0" borderId="1" xfId="0" applyFont="1" applyBorder="1"/>
    <xf numFmtId="4" fontId="1" fillId="0" borderId="1" xfId="0" applyNumberFormat="1" applyFont="1" applyBorder="1"/>
    <xf numFmtId="4" fontId="2" fillId="0" borderId="1" xfId="0" applyNumberFormat="1" applyFont="1" applyBorder="1"/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 wrapText="1"/>
    </xf>
    <xf numFmtId="4" fontId="2" fillId="3" borderId="1" xfId="0" applyNumberFormat="1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4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4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 wrapText="1"/>
    </xf>
    <xf numFmtId="4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4" fontId="1" fillId="0" borderId="1" xfId="0" applyNumberFormat="1" applyFont="1" applyBorder="1" applyAlignment="1">
      <alignment vertical="top" wrapText="1"/>
    </xf>
    <xf numFmtId="4" fontId="2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7F0ED-8CEF-4D6B-9A25-3B18B8C2693A}">
  <dimension ref="A1:O36"/>
  <sheetViews>
    <sheetView tabSelected="1" workbookViewId="0">
      <pane ySplit="5" topLeftCell="A6" activePane="bottomLeft" state="frozenSplit"/>
      <selection pane="bottomLeft" sqref="A1:O1"/>
    </sheetView>
  </sheetViews>
  <sheetFormatPr defaultRowHeight="18.75"/>
  <cols>
    <col min="1" max="1" width="5.7109375" style="1" customWidth="1"/>
    <col min="2" max="2" width="42.7109375" style="1" customWidth="1"/>
    <col min="3" max="3" width="34.7109375" style="1" customWidth="1"/>
    <col min="4" max="4" width="22.7109375" style="1" customWidth="1"/>
    <col min="5" max="7" width="13.7109375" style="1" customWidth="1"/>
    <col min="8" max="8" width="14.7109375" style="1" customWidth="1"/>
    <col min="9" max="12" width="8.7109375" style="1" customWidth="1"/>
    <col min="13" max="14" width="24.7109375" style="1" customWidth="1"/>
    <col min="15" max="15" width="28.7109375" style="1" customWidth="1"/>
    <col min="16" max="16384" width="9.140625" style="1"/>
  </cols>
  <sheetData>
    <row r="1" spans="1:15" ht="23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1:15">
      <c r="A4" s="5" t="s">
        <v>12</v>
      </c>
      <c r="B4" s="5" t="s">
        <v>16</v>
      </c>
      <c r="C4" s="5" t="s">
        <v>14</v>
      </c>
      <c r="D4" s="5" t="s">
        <v>6</v>
      </c>
      <c r="E4" s="5" t="s">
        <v>4</v>
      </c>
      <c r="F4" s="5"/>
      <c r="G4" s="5"/>
      <c r="H4" s="5" t="s">
        <v>2</v>
      </c>
      <c r="I4" s="5" t="s">
        <v>7</v>
      </c>
      <c r="J4" s="5"/>
      <c r="K4" s="5"/>
      <c r="L4" s="5"/>
      <c r="M4" s="5" t="s">
        <v>18</v>
      </c>
      <c r="N4" s="5" t="s">
        <v>3</v>
      </c>
      <c r="O4" s="5" t="s">
        <v>8</v>
      </c>
    </row>
    <row r="5" spans="1:15" ht="37.5">
      <c r="A5" s="5"/>
      <c r="B5" s="5"/>
      <c r="C5" s="5"/>
      <c r="D5" s="5"/>
      <c r="E5" s="6" t="s">
        <v>15</v>
      </c>
      <c r="F5" s="6" t="s">
        <v>17</v>
      </c>
      <c r="G5" s="6" t="s">
        <v>9</v>
      </c>
      <c r="H5" s="5"/>
      <c r="I5" s="6" t="s">
        <v>10</v>
      </c>
      <c r="J5" s="6" t="s">
        <v>13</v>
      </c>
      <c r="K5" s="6" t="s">
        <v>11</v>
      </c>
      <c r="L5" s="6" t="s">
        <v>5</v>
      </c>
      <c r="M5" s="5"/>
      <c r="N5" s="5"/>
      <c r="O5" s="5"/>
    </row>
    <row r="6" spans="1:15" ht="56.25">
      <c r="A6" s="11"/>
      <c r="B6" s="12" t="s">
        <v>19</v>
      </c>
      <c r="C6" s="12"/>
      <c r="D6" s="12"/>
      <c r="E6" s="13"/>
      <c r="F6" s="13"/>
      <c r="G6" s="13"/>
      <c r="H6" s="13"/>
      <c r="I6" s="11"/>
      <c r="J6" s="11"/>
      <c r="K6" s="11"/>
      <c r="L6" s="11"/>
      <c r="M6" s="14"/>
      <c r="N6" s="14"/>
      <c r="O6" s="14"/>
    </row>
    <row r="7" spans="1:15" ht="168.75">
      <c r="A7" s="15">
        <v>1</v>
      </c>
      <c r="B7" s="16" t="s">
        <v>20</v>
      </c>
      <c r="C7" s="16" t="s">
        <v>21</v>
      </c>
      <c r="D7" s="16" t="s">
        <v>22</v>
      </c>
      <c r="E7" s="17"/>
      <c r="F7" s="17"/>
      <c r="G7" s="17">
        <v>45000</v>
      </c>
      <c r="H7" s="17">
        <f>SUM(E7:G7)</f>
        <v>45000</v>
      </c>
      <c r="I7" s="15"/>
      <c r="J7" s="15" t="s">
        <v>23</v>
      </c>
      <c r="K7" s="15"/>
      <c r="L7" s="15"/>
      <c r="M7" s="18" t="s">
        <v>24</v>
      </c>
      <c r="N7" s="18" t="s">
        <v>25</v>
      </c>
      <c r="O7" s="18" t="s">
        <v>26</v>
      </c>
    </row>
    <row r="8" spans="1:15" ht="93.75">
      <c r="A8" s="15">
        <v>2</v>
      </c>
      <c r="B8" s="16" t="s">
        <v>27</v>
      </c>
      <c r="C8" s="16" t="s">
        <v>28</v>
      </c>
      <c r="D8" s="16" t="s">
        <v>29</v>
      </c>
      <c r="E8" s="17">
        <v>180000</v>
      </c>
      <c r="F8" s="17"/>
      <c r="G8" s="17"/>
      <c r="H8" s="17">
        <f>SUM(E8:G8)</f>
        <v>180000</v>
      </c>
      <c r="I8" s="15"/>
      <c r="J8" s="15" t="s">
        <v>23</v>
      </c>
      <c r="K8" s="15" t="s">
        <v>23</v>
      </c>
      <c r="L8" s="15"/>
      <c r="M8" s="18" t="s">
        <v>30</v>
      </c>
      <c r="N8" s="18" t="s">
        <v>31</v>
      </c>
      <c r="O8" s="18" t="s">
        <v>32</v>
      </c>
    </row>
    <row r="9" spans="1:15" ht="131.25">
      <c r="A9" s="15">
        <v>3</v>
      </c>
      <c r="B9" s="16" t="s">
        <v>33</v>
      </c>
      <c r="C9" s="16" t="s">
        <v>34</v>
      </c>
      <c r="D9" s="16" t="s">
        <v>35</v>
      </c>
      <c r="E9" s="17"/>
      <c r="F9" s="17"/>
      <c r="G9" s="17">
        <v>216000</v>
      </c>
      <c r="H9" s="17">
        <f>SUM(E9:G9)</f>
        <v>216000</v>
      </c>
      <c r="I9" s="15" t="s">
        <v>23</v>
      </c>
      <c r="J9" s="15" t="s">
        <v>23</v>
      </c>
      <c r="K9" s="15" t="s">
        <v>23</v>
      </c>
      <c r="L9" s="15" t="s">
        <v>23</v>
      </c>
      <c r="M9" s="18" t="s">
        <v>24</v>
      </c>
      <c r="N9" s="18" t="s">
        <v>31</v>
      </c>
      <c r="O9" s="18" t="s">
        <v>32</v>
      </c>
    </row>
    <row r="10" spans="1:15" ht="112.5">
      <c r="A10" s="15">
        <v>4</v>
      </c>
      <c r="B10" s="16" t="s">
        <v>36</v>
      </c>
      <c r="C10" s="16" t="s">
        <v>37</v>
      </c>
      <c r="D10" s="16" t="s">
        <v>38</v>
      </c>
      <c r="E10" s="17">
        <v>60000</v>
      </c>
      <c r="F10" s="17"/>
      <c r="G10" s="17">
        <v>20000</v>
      </c>
      <c r="H10" s="17">
        <f>SUM(E10:G10)</f>
        <v>80000</v>
      </c>
      <c r="I10" s="15" t="s">
        <v>23</v>
      </c>
      <c r="J10" s="15"/>
      <c r="K10" s="15" t="s">
        <v>23</v>
      </c>
      <c r="L10" s="15"/>
      <c r="M10" s="18" t="s">
        <v>39</v>
      </c>
      <c r="N10" s="18" t="s">
        <v>40</v>
      </c>
      <c r="O10" s="18" t="s">
        <v>41</v>
      </c>
    </row>
    <row r="11" spans="1:15" ht="131.25">
      <c r="A11" s="15">
        <v>5</v>
      </c>
      <c r="B11" s="16" t="s">
        <v>42</v>
      </c>
      <c r="C11" s="16" t="s">
        <v>43</v>
      </c>
      <c r="D11" s="16" t="s">
        <v>44</v>
      </c>
      <c r="E11" s="17"/>
      <c r="F11" s="17"/>
      <c r="G11" s="17">
        <v>35000</v>
      </c>
      <c r="H11" s="17">
        <f>SUM(E11:G11)</f>
        <v>35000</v>
      </c>
      <c r="I11" s="15"/>
      <c r="J11" s="15" t="s">
        <v>23</v>
      </c>
      <c r="K11" s="15" t="s">
        <v>23</v>
      </c>
      <c r="L11" s="15"/>
      <c r="M11" s="18" t="s">
        <v>24</v>
      </c>
      <c r="N11" s="18" t="s">
        <v>45</v>
      </c>
      <c r="O11" s="18" t="s">
        <v>46</v>
      </c>
    </row>
    <row r="12" spans="1:15" ht="131.25">
      <c r="A12" s="15">
        <v>6</v>
      </c>
      <c r="B12" s="16" t="s">
        <v>47</v>
      </c>
      <c r="C12" s="16" t="s">
        <v>48</v>
      </c>
      <c r="D12" s="16" t="s">
        <v>49</v>
      </c>
      <c r="E12" s="17">
        <v>420000</v>
      </c>
      <c r="F12" s="17"/>
      <c r="G12" s="17">
        <v>60000</v>
      </c>
      <c r="H12" s="17">
        <f>SUM(E12:G12)</f>
        <v>480000</v>
      </c>
      <c r="I12" s="15" t="s">
        <v>23</v>
      </c>
      <c r="J12" s="15" t="s">
        <v>23</v>
      </c>
      <c r="K12" s="15" t="s">
        <v>23</v>
      </c>
      <c r="L12" s="15" t="s">
        <v>23</v>
      </c>
      <c r="M12" s="18" t="s">
        <v>50</v>
      </c>
      <c r="N12" s="18" t="s">
        <v>40</v>
      </c>
      <c r="O12" s="18" t="s">
        <v>51</v>
      </c>
    </row>
    <row r="13" spans="1:15" ht="56.25">
      <c r="A13" s="19"/>
      <c r="B13" s="20" t="s">
        <v>52</v>
      </c>
      <c r="C13" s="20"/>
      <c r="D13" s="20"/>
      <c r="E13" s="21">
        <f>SUM(E7:E12)</f>
        <v>660000</v>
      </c>
      <c r="F13" s="21">
        <f>SUM(F7:F12)</f>
        <v>0</v>
      </c>
      <c r="G13" s="21">
        <f>SUM(G7:G12)</f>
        <v>376000</v>
      </c>
      <c r="H13" s="21">
        <f>SUM(H7:H12)</f>
        <v>1036000</v>
      </c>
      <c r="I13" s="19"/>
      <c r="J13" s="19"/>
      <c r="K13" s="19"/>
      <c r="L13" s="19"/>
      <c r="M13" s="22"/>
      <c r="N13" s="22"/>
      <c r="O13" s="22"/>
    </row>
    <row r="14" spans="1:15" ht="75">
      <c r="A14" s="11"/>
      <c r="B14" s="12" t="s">
        <v>53</v>
      </c>
      <c r="C14" s="12"/>
      <c r="D14" s="12"/>
      <c r="E14" s="13"/>
      <c r="F14" s="13"/>
      <c r="G14" s="13"/>
      <c r="H14" s="13"/>
      <c r="I14" s="11"/>
      <c r="J14" s="11"/>
      <c r="K14" s="11"/>
      <c r="L14" s="11"/>
      <c r="M14" s="14"/>
      <c r="N14" s="14"/>
      <c r="O14" s="14"/>
    </row>
    <row r="15" spans="1:15" ht="131.25">
      <c r="A15" s="15">
        <v>7</v>
      </c>
      <c r="B15" s="16" t="s">
        <v>54</v>
      </c>
      <c r="C15" s="16" t="s">
        <v>55</v>
      </c>
      <c r="D15" s="16" t="s">
        <v>56</v>
      </c>
      <c r="E15" s="17"/>
      <c r="F15" s="17"/>
      <c r="G15" s="17">
        <v>15000</v>
      </c>
      <c r="H15" s="17">
        <f>SUM(E15:G15)</f>
        <v>15000</v>
      </c>
      <c r="I15" s="15" t="s">
        <v>23</v>
      </c>
      <c r="J15" s="15"/>
      <c r="K15" s="15"/>
      <c r="L15" s="15"/>
      <c r="M15" s="18" t="s">
        <v>24</v>
      </c>
      <c r="N15" s="18" t="s">
        <v>57</v>
      </c>
      <c r="O15" s="18" t="s">
        <v>58</v>
      </c>
    </row>
    <row r="16" spans="1:15" ht="150">
      <c r="A16" s="15">
        <v>8</v>
      </c>
      <c r="B16" s="16" t="s">
        <v>59</v>
      </c>
      <c r="C16" s="16" t="s">
        <v>60</v>
      </c>
      <c r="D16" s="16" t="s">
        <v>61</v>
      </c>
      <c r="E16" s="17"/>
      <c r="F16" s="17"/>
      <c r="G16" s="17">
        <v>25000</v>
      </c>
      <c r="H16" s="17">
        <f>SUM(E16:G16)</f>
        <v>25000</v>
      </c>
      <c r="I16" s="15"/>
      <c r="J16" s="15"/>
      <c r="K16" s="15" t="s">
        <v>23</v>
      </c>
      <c r="L16" s="15" t="s">
        <v>23</v>
      </c>
      <c r="M16" s="18" t="s">
        <v>24</v>
      </c>
      <c r="N16" s="18" t="s">
        <v>62</v>
      </c>
      <c r="O16" s="18" t="s">
        <v>63</v>
      </c>
    </row>
    <row r="17" spans="1:15" ht="131.25">
      <c r="A17" s="15">
        <v>9</v>
      </c>
      <c r="B17" s="16" t="s">
        <v>64</v>
      </c>
      <c r="C17" s="16" t="s">
        <v>65</v>
      </c>
      <c r="D17" s="16" t="s">
        <v>66</v>
      </c>
      <c r="E17" s="17">
        <v>50000</v>
      </c>
      <c r="F17" s="17"/>
      <c r="G17" s="17">
        <v>30000</v>
      </c>
      <c r="H17" s="17">
        <f>SUM(E17:G17)</f>
        <v>80000</v>
      </c>
      <c r="I17" s="15"/>
      <c r="J17" s="15" t="s">
        <v>23</v>
      </c>
      <c r="K17" s="15"/>
      <c r="L17" s="15"/>
      <c r="M17" s="18" t="s">
        <v>39</v>
      </c>
      <c r="N17" s="18" t="s">
        <v>67</v>
      </c>
      <c r="O17" s="18" t="s">
        <v>68</v>
      </c>
    </row>
    <row r="18" spans="1:15" ht="112.5">
      <c r="A18" s="15">
        <v>10</v>
      </c>
      <c r="B18" s="16" t="s">
        <v>69</v>
      </c>
      <c r="C18" s="16" t="s">
        <v>70</v>
      </c>
      <c r="D18" s="16" t="s">
        <v>71</v>
      </c>
      <c r="E18" s="17"/>
      <c r="F18" s="17"/>
      <c r="G18" s="17">
        <v>40000</v>
      </c>
      <c r="H18" s="17">
        <f>SUM(E18:G18)</f>
        <v>40000</v>
      </c>
      <c r="I18" s="15" t="s">
        <v>23</v>
      </c>
      <c r="J18" s="15" t="s">
        <v>23</v>
      </c>
      <c r="K18" s="15"/>
      <c r="L18" s="15"/>
      <c r="M18" s="18" t="s">
        <v>39</v>
      </c>
      <c r="N18" s="18" t="s">
        <v>72</v>
      </c>
      <c r="O18" s="18" t="s">
        <v>73</v>
      </c>
    </row>
    <row r="19" spans="1:15" ht="75">
      <c r="A19" s="19"/>
      <c r="B19" s="20" t="s">
        <v>74</v>
      </c>
      <c r="C19" s="20"/>
      <c r="D19" s="20"/>
      <c r="E19" s="21">
        <f>SUM(E15:E18)</f>
        <v>50000</v>
      </c>
      <c r="F19" s="21">
        <f>SUM(F15:F18)</f>
        <v>0</v>
      </c>
      <c r="G19" s="21">
        <f>SUM(G15:G18)</f>
        <v>110000</v>
      </c>
      <c r="H19" s="21">
        <f>SUM(H15:H18)</f>
        <v>160000</v>
      </c>
      <c r="I19" s="19"/>
      <c r="J19" s="19"/>
      <c r="K19" s="19"/>
      <c r="L19" s="19"/>
      <c r="M19" s="22"/>
      <c r="N19" s="22"/>
      <c r="O19" s="22"/>
    </row>
    <row r="20" spans="1:15" ht="93.75">
      <c r="A20" s="11"/>
      <c r="B20" s="12" t="s">
        <v>75</v>
      </c>
      <c r="C20" s="12"/>
      <c r="D20" s="12"/>
      <c r="E20" s="13"/>
      <c r="F20" s="13"/>
      <c r="G20" s="13"/>
      <c r="H20" s="13"/>
      <c r="I20" s="11"/>
      <c r="J20" s="11"/>
      <c r="K20" s="11"/>
      <c r="L20" s="11"/>
      <c r="M20" s="14"/>
      <c r="N20" s="14"/>
      <c r="O20" s="14"/>
    </row>
    <row r="21" spans="1:15" ht="112.5">
      <c r="A21" s="15">
        <v>11</v>
      </c>
      <c r="B21" s="16" t="s">
        <v>76</v>
      </c>
      <c r="C21" s="16" t="s">
        <v>77</v>
      </c>
      <c r="D21" s="16" t="s">
        <v>78</v>
      </c>
      <c r="E21" s="17"/>
      <c r="F21" s="17">
        <v>30000</v>
      </c>
      <c r="G21" s="17"/>
      <c r="H21" s="17">
        <f>SUM(E21:G21)</f>
        <v>30000</v>
      </c>
      <c r="I21" s="15"/>
      <c r="J21" s="15"/>
      <c r="K21" s="15" t="s">
        <v>23</v>
      </c>
      <c r="L21" s="15"/>
      <c r="M21" s="18" t="s">
        <v>24</v>
      </c>
      <c r="N21" s="18" t="s">
        <v>79</v>
      </c>
      <c r="O21" s="18" t="s">
        <v>80</v>
      </c>
    </row>
    <row r="22" spans="1:15" ht="112.5">
      <c r="A22" s="15">
        <v>12</v>
      </c>
      <c r="B22" s="16" t="s">
        <v>81</v>
      </c>
      <c r="C22" s="16" t="s">
        <v>82</v>
      </c>
      <c r="D22" s="16" t="s">
        <v>83</v>
      </c>
      <c r="E22" s="17"/>
      <c r="F22" s="17">
        <v>85000</v>
      </c>
      <c r="G22" s="17"/>
      <c r="H22" s="17">
        <f>SUM(E22:G22)</f>
        <v>85000</v>
      </c>
      <c r="I22" s="15"/>
      <c r="J22" s="15" t="s">
        <v>23</v>
      </c>
      <c r="K22" s="15"/>
      <c r="L22" s="15"/>
      <c r="M22" s="18" t="s">
        <v>24</v>
      </c>
      <c r="N22" s="18" t="s">
        <v>84</v>
      </c>
      <c r="O22" s="18" t="s">
        <v>80</v>
      </c>
    </row>
    <row r="23" spans="1:15" ht="93.75">
      <c r="A23" s="15">
        <v>13</v>
      </c>
      <c r="B23" s="16" t="s">
        <v>85</v>
      </c>
      <c r="C23" s="16" t="s">
        <v>86</v>
      </c>
      <c r="D23" s="16" t="s">
        <v>87</v>
      </c>
      <c r="E23" s="17"/>
      <c r="F23" s="17">
        <v>40000</v>
      </c>
      <c r="G23" s="17"/>
      <c r="H23" s="17">
        <f>SUM(E23:G23)</f>
        <v>40000</v>
      </c>
      <c r="I23" s="15" t="s">
        <v>23</v>
      </c>
      <c r="J23" s="15" t="s">
        <v>23</v>
      </c>
      <c r="K23" s="15"/>
      <c r="L23" s="15"/>
      <c r="M23" s="18" t="s">
        <v>24</v>
      </c>
      <c r="N23" s="18" t="s">
        <v>88</v>
      </c>
      <c r="O23" s="18" t="s">
        <v>89</v>
      </c>
    </row>
    <row r="24" spans="1:15" ht="131.25">
      <c r="A24" s="15">
        <v>14</v>
      </c>
      <c r="B24" s="16" t="s">
        <v>90</v>
      </c>
      <c r="C24" s="16" t="s">
        <v>91</v>
      </c>
      <c r="D24" s="16" t="s">
        <v>92</v>
      </c>
      <c r="E24" s="17"/>
      <c r="F24" s="17"/>
      <c r="G24" s="17">
        <v>20000</v>
      </c>
      <c r="H24" s="17">
        <f>SUM(E24:G24)</f>
        <v>20000</v>
      </c>
      <c r="I24" s="15"/>
      <c r="J24" s="15"/>
      <c r="K24" s="15" t="s">
        <v>23</v>
      </c>
      <c r="L24" s="15"/>
      <c r="M24" s="18" t="s">
        <v>24</v>
      </c>
      <c r="N24" s="18" t="s">
        <v>93</v>
      </c>
      <c r="O24" s="18" t="s">
        <v>94</v>
      </c>
    </row>
    <row r="25" spans="1:15" ht="112.5">
      <c r="A25" s="15">
        <v>15</v>
      </c>
      <c r="B25" s="16" t="s">
        <v>95</v>
      </c>
      <c r="C25" s="16" t="s">
        <v>96</v>
      </c>
      <c r="D25" s="16" t="s">
        <v>97</v>
      </c>
      <c r="E25" s="17">
        <v>120000</v>
      </c>
      <c r="F25" s="17"/>
      <c r="G25" s="17"/>
      <c r="H25" s="17">
        <f>SUM(E25:G25)</f>
        <v>120000</v>
      </c>
      <c r="I25" s="15" t="s">
        <v>23</v>
      </c>
      <c r="J25" s="15"/>
      <c r="K25" s="15" t="s">
        <v>23</v>
      </c>
      <c r="L25" s="15"/>
      <c r="M25" s="18" t="s">
        <v>39</v>
      </c>
      <c r="N25" s="18" t="s">
        <v>98</v>
      </c>
      <c r="O25" s="18" t="s">
        <v>99</v>
      </c>
    </row>
    <row r="26" spans="1:15" ht="93.75">
      <c r="A26" s="19"/>
      <c r="B26" s="20" t="s">
        <v>100</v>
      </c>
      <c r="C26" s="20"/>
      <c r="D26" s="20"/>
      <c r="E26" s="21">
        <f>SUM(E21:E25)</f>
        <v>120000</v>
      </c>
      <c r="F26" s="21">
        <f>SUM(F21:F25)</f>
        <v>155000</v>
      </c>
      <c r="G26" s="21">
        <f>SUM(G21:G25)</f>
        <v>20000</v>
      </c>
      <c r="H26" s="21">
        <f>SUM(H21:H25)</f>
        <v>295000</v>
      </c>
      <c r="I26" s="19"/>
      <c r="J26" s="19"/>
      <c r="K26" s="19"/>
      <c r="L26" s="19"/>
      <c r="M26" s="22"/>
      <c r="N26" s="22"/>
      <c r="O26" s="22"/>
    </row>
    <row r="27" spans="1:15" ht="37.5">
      <c r="A27" s="11"/>
      <c r="B27" s="12" t="s">
        <v>101</v>
      </c>
      <c r="C27" s="12"/>
      <c r="D27" s="12"/>
      <c r="E27" s="13"/>
      <c r="F27" s="13"/>
      <c r="G27" s="13"/>
      <c r="H27" s="13"/>
      <c r="I27" s="11"/>
      <c r="J27" s="11"/>
      <c r="K27" s="11"/>
      <c r="L27" s="11"/>
      <c r="M27" s="14"/>
      <c r="N27" s="14"/>
      <c r="O27" s="14"/>
    </row>
    <row r="28" spans="1:15" ht="112.5">
      <c r="A28" s="15">
        <v>16</v>
      </c>
      <c r="B28" s="16" t="s">
        <v>102</v>
      </c>
      <c r="C28" s="16" t="s">
        <v>103</v>
      </c>
      <c r="D28" s="16" t="s">
        <v>104</v>
      </c>
      <c r="E28" s="17"/>
      <c r="F28" s="17">
        <v>280000</v>
      </c>
      <c r="G28" s="17">
        <v>40000</v>
      </c>
      <c r="H28" s="17">
        <f>SUM(E28:G28)</f>
        <v>320000</v>
      </c>
      <c r="I28" s="15" t="s">
        <v>23</v>
      </c>
      <c r="J28" s="15"/>
      <c r="K28" s="15" t="s">
        <v>23</v>
      </c>
      <c r="L28" s="15"/>
      <c r="M28" s="18" t="s">
        <v>39</v>
      </c>
      <c r="N28" s="18" t="s">
        <v>105</v>
      </c>
      <c r="O28" s="18" t="s">
        <v>106</v>
      </c>
    </row>
    <row r="29" spans="1:15" ht="112.5">
      <c r="A29" s="15">
        <v>17</v>
      </c>
      <c r="B29" s="16" t="s">
        <v>107</v>
      </c>
      <c r="C29" s="16" t="s">
        <v>103</v>
      </c>
      <c r="D29" s="16" t="s">
        <v>108</v>
      </c>
      <c r="E29" s="17"/>
      <c r="F29" s="17">
        <v>300000</v>
      </c>
      <c r="G29" s="17"/>
      <c r="H29" s="17">
        <f>SUM(E29:G29)</f>
        <v>300000</v>
      </c>
      <c r="I29" s="15" t="s">
        <v>23</v>
      </c>
      <c r="J29" s="15"/>
      <c r="K29" s="15" t="s">
        <v>23</v>
      </c>
      <c r="L29" s="15"/>
      <c r="M29" s="18" t="s">
        <v>39</v>
      </c>
      <c r="N29" s="18" t="s">
        <v>109</v>
      </c>
      <c r="O29" s="18" t="s">
        <v>110</v>
      </c>
    </row>
    <row r="30" spans="1:15" ht="150">
      <c r="A30" s="15">
        <v>18</v>
      </c>
      <c r="B30" s="16" t="s">
        <v>111</v>
      </c>
      <c r="C30" s="16" t="s">
        <v>112</v>
      </c>
      <c r="D30" s="16" t="s">
        <v>113</v>
      </c>
      <c r="E30" s="17">
        <v>450000</v>
      </c>
      <c r="F30" s="17"/>
      <c r="G30" s="17"/>
      <c r="H30" s="17">
        <f>SUM(E30:G30)</f>
        <v>450000</v>
      </c>
      <c r="I30" s="15"/>
      <c r="J30" s="15" t="s">
        <v>23</v>
      </c>
      <c r="K30" s="15"/>
      <c r="L30" s="15"/>
      <c r="M30" s="18" t="s">
        <v>114</v>
      </c>
      <c r="N30" s="18" t="s">
        <v>115</v>
      </c>
      <c r="O30" s="18" t="s">
        <v>116</v>
      </c>
    </row>
    <row r="31" spans="1:15" ht="150">
      <c r="A31" s="15">
        <v>19</v>
      </c>
      <c r="B31" s="16" t="s">
        <v>117</v>
      </c>
      <c r="C31" s="16" t="s">
        <v>118</v>
      </c>
      <c r="D31" s="16" t="s">
        <v>119</v>
      </c>
      <c r="E31" s="17"/>
      <c r="F31" s="17">
        <v>25000</v>
      </c>
      <c r="G31" s="17"/>
      <c r="H31" s="17">
        <f>SUM(E31:G31)</f>
        <v>25000</v>
      </c>
      <c r="I31" s="15"/>
      <c r="J31" s="15" t="s">
        <v>23</v>
      </c>
      <c r="K31" s="15"/>
      <c r="L31" s="15"/>
      <c r="M31" s="18" t="s">
        <v>24</v>
      </c>
      <c r="N31" s="18" t="s">
        <v>120</v>
      </c>
      <c r="O31" s="18" t="s">
        <v>121</v>
      </c>
    </row>
    <row r="32" spans="1:15" ht="131.25">
      <c r="A32" s="15">
        <v>20</v>
      </c>
      <c r="B32" s="16" t="s">
        <v>122</v>
      </c>
      <c r="C32" s="16" t="s">
        <v>123</v>
      </c>
      <c r="D32" s="16" t="s">
        <v>92</v>
      </c>
      <c r="E32" s="17">
        <v>65000</v>
      </c>
      <c r="F32" s="17"/>
      <c r="G32" s="17"/>
      <c r="H32" s="17">
        <f>SUM(E32:G32)</f>
        <v>65000</v>
      </c>
      <c r="I32" s="15"/>
      <c r="J32" s="15"/>
      <c r="K32" s="15" t="s">
        <v>23</v>
      </c>
      <c r="L32" s="15"/>
      <c r="M32" s="18" t="s">
        <v>39</v>
      </c>
      <c r="N32" s="18" t="s">
        <v>124</v>
      </c>
      <c r="O32" s="18" t="s">
        <v>125</v>
      </c>
    </row>
    <row r="33" spans="1:15" ht="168.75">
      <c r="A33" s="15">
        <v>21</v>
      </c>
      <c r="B33" s="16" t="s">
        <v>126</v>
      </c>
      <c r="C33" s="16" t="s">
        <v>127</v>
      </c>
      <c r="D33" s="16" t="s">
        <v>128</v>
      </c>
      <c r="E33" s="17"/>
      <c r="F33" s="17"/>
      <c r="G33" s="17">
        <v>50000</v>
      </c>
      <c r="H33" s="17">
        <f>SUM(E33:G33)</f>
        <v>50000</v>
      </c>
      <c r="I33" s="15" t="s">
        <v>23</v>
      </c>
      <c r="J33" s="15" t="s">
        <v>23</v>
      </c>
      <c r="K33" s="15" t="s">
        <v>23</v>
      </c>
      <c r="L33" s="15" t="s">
        <v>23</v>
      </c>
      <c r="M33" s="18" t="s">
        <v>24</v>
      </c>
      <c r="N33" s="18" t="s">
        <v>129</v>
      </c>
      <c r="O33" s="18" t="s">
        <v>130</v>
      </c>
    </row>
    <row r="34" spans="1:15" ht="112.5">
      <c r="A34" s="15">
        <v>22</v>
      </c>
      <c r="B34" s="16" t="s">
        <v>131</v>
      </c>
      <c r="C34" s="16" t="s">
        <v>132</v>
      </c>
      <c r="D34" s="16" t="s">
        <v>133</v>
      </c>
      <c r="E34" s="17"/>
      <c r="F34" s="17">
        <v>60000</v>
      </c>
      <c r="G34" s="17"/>
      <c r="H34" s="17">
        <f>SUM(E34:G34)</f>
        <v>60000</v>
      </c>
      <c r="I34" s="15"/>
      <c r="J34" s="15" t="s">
        <v>23</v>
      </c>
      <c r="K34" s="15"/>
      <c r="L34" s="15"/>
      <c r="M34" s="18" t="s">
        <v>39</v>
      </c>
      <c r="N34" s="18" t="s">
        <v>134</v>
      </c>
      <c r="O34" s="18" t="s">
        <v>135</v>
      </c>
    </row>
    <row r="35" spans="1:15" ht="37.5">
      <c r="A35" s="19"/>
      <c r="B35" s="20" t="s">
        <v>136</v>
      </c>
      <c r="C35" s="20"/>
      <c r="D35" s="20"/>
      <c r="E35" s="21">
        <f>SUM(E28:E34)</f>
        <v>515000</v>
      </c>
      <c r="F35" s="21">
        <f>SUM(F28:F34)</f>
        <v>665000</v>
      </c>
      <c r="G35" s="21">
        <f>SUM(G28:G34)</f>
        <v>90000</v>
      </c>
      <c r="H35" s="21">
        <f>SUM(H28:H34)</f>
        <v>1270000</v>
      </c>
      <c r="I35" s="19"/>
      <c r="J35" s="19"/>
      <c r="K35" s="19"/>
      <c r="L35" s="19"/>
      <c r="M35" s="22"/>
      <c r="N35" s="22"/>
      <c r="O35" s="22"/>
    </row>
    <row r="36" spans="1:15">
      <c r="A36" s="23"/>
      <c r="B36" s="24" t="s">
        <v>137</v>
      </c>
      <c r="C36" s="24"/>
      <c r="D36" s="24"/>
      <c r="E36" s="25">
        <f>E13+E19+E26+E35</f>
        <v>1345000</v>
      </c>
      <c r="F36" s="25">
        <f>F13+F19+F26+F35</f>
        <v>820000</v>
      </c>
      <c r="G36" s="25">
        <f>G13+G19+G26+G35</f>
        <v>596000</v>
      </c>
      <c r="H36" s="25">
        <f>H13+H19+H26+H35</f>
        <v>2761000</v>
      </c>
      <c r="I36" s="23"/>
      <c r="J36" s="23"/>
      <c r="K36" s="23"/>
      <c r="L36" s="23"/>
      <c r="M36" s="26"/>
      <c r="N36" s="26"/>
      <c r="O36" s="26"/>
    </row>
  </sheetData>
  <mergeCells count="12">
    <mergeCell ref="N4:N5"/>
    <mergeCell ref="O4:O5"/>
    <mergeCell ref="A1:O1"/>
    <mergeCell ref="A2:O2"/>
    <mergeCell ref="A4:A5"/>
    <mergeCell ref="B4:B5"/>
    <mergeCell ref="C4:C5"/>
    <mergeCell ref="D4:D5"/>
    <mergeCell ref="E4:G4"/>
    <mergeCell ref="H4:H5"/>
    <mergeCell ref="I4:L4"/>
    <mergeCell ref="M4:M5"/>
  </mergeCells>
  <pageMargins left="0.7" right="0.7" top="0.75" bottom="0.75" header="0.3" footer="0.3"/>
  <pageSetup orientation="landscape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899B0-8F34-4748-ACEA-3D1E9D99D206}">
  <dimension ref="A1:H14"/>
  <sheetViews>
    <sheetView workbookViewId="0"/>
  </sheetViews>
  <sheetFormatPr defaultRowHeight="18.75"/>
  <cols>
    <col min="1" max="1" width="5.7109375" style="1" customWidth="1"/>
    <col min="2" max="2" width="46.7109375" style="1" customWidth="1"/>
    <col min="3" max="3" width="16.7109375" style="1" customWidth="1"/>
    <col min="4" max="4" width="20.7109375" style="1" customWidth="1"/>
    <col min="5" max="5" width="18.7109375" style="1" customWidth="1"/>
    <col min="6" max="6" width="16.7109375" style="1" customWidth="1"/>
    <col min="7" max="7" width="46.7109375" style="1" customWidth="1"/>
    <col min="8" max="8" width="16.7109375" style="1" customWidth="1"/>
    <col min="9" max="16384" width="9.140625" style="1"/>
  </cols>
  <sheetData>
    <row r="1" spans="1:8" ht="23.25">
      <c r="A1" s="2" t="s">
        <v>138</v>
      </c>
      <c r="B1" s="3"/>
      <c r="C1" s="3"/>
      <c r="D1" s="3"/>
      <c r="E1" s="3"/>
      <c r="F1" s="3"/>
      <c r="G1" s="3"/>
      <c r="H1" s="3"/>
    </row>
    <row r="3" spans="1:8" ht="37.5">
      <c r="A3" s="6" t="s">
        <v>12</v>
      </c>
      <c r="B3" s="6" t="s">
        <v>139</v>
      </c>
      <c r="C3" s="6" t="s">
        <v>140</v>
      </c>
      <c r="D3" s="6" t="s">
        <v>141</v>
      </c>
      <c r="E3" s="6" t="s">
        <v>142</v>
      </c>
      <c r="F3" s="6" t="s">
        <v>143</v>
      </c>
      <c r="G3" s="6" t="s">
        <v>144</v>
      </c>
      <c r="H3" s="6" t="s">
        <v>145</v>
      </c>
    </row>
    <row r="4" spans="1:8">
      <c r="A4" s="15">
        <v>1</v>
      </c>
      <c r="B4" s="16" t="s">
        <v>146</v>
      </c>
      <c r="C4" s="27">
        <v>216000</v>
      </c>
      <c r="D4" s="16" t="s">
        <v>9</v>
      </c>
      <c r="E4" s="16" t="s">
        <v>147</v>
      </c>
      <c r="F4" s="16" t="s">
        <v>148</v>
      </c>
      <c r="G4" s="16" t="s">
        <v>33</v>
      </c>
      <c r="H4" s="18"/>
    </row>
    <row r="5" spans="1:8">
      <c r="A5" s="15">
        <v>2</v>
      </c>
      <c r="B5" s="16" t="s">
        <v>149</v>
      </c>
      <c r="C5" s="27">
        <v>40000</v>
      </c>
      <c r="D5" s="16" t="s">
        <v>15</v>
      </c>
      <c r="E5" s="16" t="s">
        <v>147</v>
      </c>
      <c r="F5" s="16" t="s">
        <v>150</v>
      </c>
      <c r="G5" s="16" t="s">
        <v>36</v>
      </c>
      <c r="H5" s="18"/>
    </row>
    <row r="6" spans="1:8">
      <c r="A6" s="15">
        <v>3</v>
      </c>
      <c r="B6" s="16" t="s">
        <v>151</v>
      </c>
      <c r="C6" s="27">
        <v>160000</v>
      </c>
      <c r="D6" s="16" t="s">
        <v>17</v>
      </c>
      <c r="E6" s="16" t="s">
        <v>147</v>
      </c>
      <c r="F6" s="16" t="s">
        <v>150</v>
      </c>
      <c r="G6" s="16" t="s">
        <v>102</v>
      </c>
      <c r="H6" s="18"/>
    </row>
    <row r="7" spans="1:8">
      <c r="A7" s="15">
        <v>4</v>
      </c>
      <c r="B7" s="16" t="s">
        <v>152</v>
      </c>
      <c r="C7" s="27">
        <v>150000</v>
      </c>
      <c r="D7" s="16" t="s">
        <v>17</v>
      </c>
      <c r="E7" s="16" t="s">
        <v>147</v>
      </c>
      <c r="F7" s="16" t="s">
        <v>150</v>
      </c>
      <c r="G7" s="16" t="s">
        <v>107</v>
      </c>
      <c r="H7" s="18"/>
    </row>
    <row r="8" spans="1:8">
      <c r="A8" s="15">
        <v>5</v>
      </c>
      <c r="B8" s="16" t="s">
        <v>153</v>
      </c>
      <c r="C8" s="27">
        <v>180000</v>
      </c>
      <c r="D8" s="16" t="s">
        <v>15</v>
      </c>
      <c r="E8" s="16" t="s">
        <v>147</v>
      </c>
      <c r="F8" s="16" t="s">
        <v>154</v>
      </c>
      <c r="G8" s="16" t="s">
        <v>27</v>
      </c>
      <c r="H8" s="18"/>
    </row>
    <row r="9" spans="1:8">
      <c r="A9" s="15">
        <v>6</v>
      </c>
      <c r="B9" s="16" t="s">
        <v>155</v>
      </c>
      <c r="C9" s="27">
        <v>450000</v>
      </c>
      <c r="D9" s="16" t="s">
        <v>15</v>
      </c>
      <c r="E9" s="16" t="s">
        <v>156</v>
      </c>
      <c r="F9" s="16" t="s">
        <v>157</v>
      </c>
      <c r="G9" s="16" t="s">
        <v>111</v>
      </c>
      <c r="H9" s="18"/>
    </row>
    <row r="10" spans="1:8">
      <c r="A10" s="15">
        <v>7</v>
      </c>
      <c r="B10" s="16" t="s">
        <v>158</v>
      </c>
      <c r="C10" s="27">
        <v>60000</v>
      </c>
      <c r="D10" s="16" t="s">
        <v>17</v>
      </c>
      <c r="E10" s="16" t="s">
        <v>147</v>
      </c>
      <c r="F10" s="16" t="s">
        <v>154</v>
      </c>
      <c r="G10" s="16" t="s">
        <v>131</v>
      </c>
      <c r="H10" s="18"/>
    </row>
    <row r="11" spans="1:8">
      <c r="A11" s="15">
        <v>8</v>
      </c>
      <c r="B11" s="16" t="s">
        <v>159</v>
      </c>
      <c r="C11" s="27">
        <v>65000</v>
      </c>
      <c r="D11" s="16" t="s">
        <v>15</v>
      </c>
      <c r="E11" s="16" t="s">
        <v>147</v>
      </c>
      <c r="F11" s="16" t="s">
        <v>160</v>
      </c>
      <c r="G11" s="16" t="s">
        <v>122</v>
      </c>
      <c r="H11" s="18"/>
    </row>
    <row r="12" spans="1:8">
      <c r="A12" s="15">
        <v>9</v>
      </c>
      <c r="B12" s="16" t="s">
        <v>161</v>
      </c>
      <c r="C12" s="27">
        <v>160000</v>
      </c>
      <c r="D12" s="16" t="s">
        <v>17</v>
      </c>
      <c r="E12" s="16" t="s">
        <v>147</v>
      </c>
      <c r="F12" s="16" t="s">
        <v>162</v>
      </c>
      <c r="G12" s="16" t="s">
        <v>102</v>
      </c>
      <c r="H12" s="18"/>
    </row>
    <row r="13" spans="1:8">
      <c r="A13" s="15">
        <v>10</v>
      </c>
      <c r="B13" s="16" t="s">
        <v>163</v>
      </c>
      <c r="C13" s="27">
        <v>150000</v>
      </c>
      <c r="D13" s="16" t="s">
        <v>17</v>
      </c>
      <c r="E13" s="16" t="s">
        <v>147</v>
      </c>
      <c r="F13" s="16" t="s">
        <v>162</v>
      </c>
      <c r="G13" s="16" t="s">
        <v>107</v>
      </c>
      <c r="H13" s="18"/>
    </row>
    <row r="14" spans="1:8">
      <c r="A14" s="19"/>
      <c r="B14" s="20" t="s">
        <v>164</v>
      </c>
      <c r="C14" s="28">
        <f>SUM(C4:C13)</f>
        <v>1631000</v>
      </c>
      <c r="D14" s="20"/>
      <c r="E14" s="20"/>
      <c r="F14" s="20"/>
      <c r="G14" s="20"/>
      <c r="H14" s="22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BC253-C0CC-4592-AF6C-C98E2E5BC284}">
  <dimension ref="A1:D12"/>
  <sheetViews>
    <sheetView workbookViewId="0"/>
  </sheetViews>
  <sheetFormatPr defaultRowHeight="18.75"/>
  <cols>
    <col min="1" max="1" width="34.7109375" style="1" customWidth="1"/>
    <col min="2" max="3" width="22.7109375" style="1" customWidth="1"/>
    <col min="4" max="4" width="44.7109375" style="1" customWidth="1"/>
    <col min="5" max="16384" width="9.140625" style="1"/>
  </cols>
  <sheetData>
    <row r="1" spans="1:4" ht="23.25">
      <c r="A1" s="2" t="s">
        <v>165</v>
      </c>
      <c r="B1" s="3"/>
      <c r="C1" s="3"/>
      <c r="D1" s="3"/>
    </row>
    <row r="3" spans="1:4" ht="75">
      <c r="A3" s="6" t="s">
        <v>141</v>
      </c>
      <c r="B3" s="6" t="s">
        <v>166</v>
      </c>
      <c r="C3" s="6" t="s">
        <v>167</v>
      </c>
      <c r="D3" s="6" t="s">
        <v>145</v>
      </c>
    </row>
    <row r="4" spans="1:4">
      <c r="A4" s="8" t="s">
        <v>15</v>
      </c>
      <c r="B4" s="10">
        <v>1500000</v>
      </c>
      <c r="C4" s="10"/>
      <c r="D4" s="8" t="s">
        <v>168</v>
      </c>
    </row>
    <row r="5" spans="1:4">
      <c r="A5" s="29" t="s">
        <v>169</v>
      </c>
      <c r="B5" s="9">
        <v>820000</v>
      </c>
      <c r="C5" s="9"/>
      <c r="D5" s="7"/>
    </row>
    <row r="6" spans="1:4">
      <c r="A6" s="29" t="s">
        <v>170</v>
      </c>
      <c r="B6" s="9">
        <v>480000</v>
      </c>
      <c r="C6" s="9"/>
      <c r="D6" s="7"/>
    </row>
    <row r="7" spans="1:4">
      <c r="A7" s="29" t="s">
        <v>171</v>
      </c>
      <c r="B7" s="9">
        <v>200000</v>
      </c>
      <c r="C7" s="9"/>
      <c r="D7" s="7"/>
    </row>
    <row r="8" spans="1:4">
      <c r="A8" s="8" t="s">
        <v>17</v>
      </c>
      <c r="B8" s="10">
        <v>950000</v>
      </c>
      <c r="C8" s="10">
        <v>35000</v>
      </c>
      <c r="D8" s="8" t="s">
        <v>172</v>
      </c>
    </row>
    <row r="9" spans="1:4">
      <c r="A9" s="29" t="s">
        <v>173</v>
      </c>
      <c r="B9" s="9">
        <v>700000</v>
      </c>
      <c r="C9" s="9">
        <v>20000</v>
      </c>
      <c r="D9" s="7"/>
    </row>
    <row r="10" spans="1:4">
      <c r="A10" s="29" t="s">
        <v>174</v>
      </c>
      <c r="B10" s="9">
        <v>250000</v>
      </c>
      <c r="C10" s="9">
        <v>15000</v>
      </c>
      <c r="D10" s="7"/>
    </row>
    <row r="11" spans="1:4">
      <c r="A11" s="8" t="s">
        <v>9</v>
      </c>
      <c r="B11" s="10">
        <v>650000</v>
      </c>
      <c r="C11" s="10">
        <v>120000</v>
      </c>
      <c r="D11" s="8" t="s">
        <v>175</v>
      </c>
    </row>
    <row r="12" spans="1:4">
      <c r="A12" s="8" t="s">
        <v>137</v>
      </c>
      <c r="B12" s="10">
        <f>B4+B8+B11</f>
        <v>3100000</v>
      </c>
      <c r="C12" s="10">
        <f>C4+C8+C11</f>
        <v>155000</v>
      </c>
      <c r="D12" s="8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แผนปฏิบัติการ 2570</vt:lpstr>
      <vt:lpstr>แผนจัดซื้อจัดจ้าง 2570</vt:lpstr>
      <vt:lpstr>ประมาณการรายรับ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นัฐพล กล่ำคำ</dc:creator>
  <cp:lastModifiedBy>นัฐพล กล่ำคำ</cp:lastModifiedBy>
  <dcterms:created xsi:type="dcterms:W3CDTF">2026-10-27T11:13:55Z</dcterms:created>
  <dcterms:modified xsi:type="dcterms:W3CDTF">2026-10-27T11:13:57Z</dcterms:modified>
</cp:coreProperties>
</file>